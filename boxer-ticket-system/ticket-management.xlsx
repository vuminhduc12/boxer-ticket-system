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込管理" sheetId="1" state="visible" r:id="rId1"/>
    <sheet name="試合情報" sheetId="2" state="visible" r:id="rId2"/>
    <sheet name="集計ダッシュボー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C9A84C"/>
      <sz val="11"/>
    </font>
    <font>
      <name val="Arial"/>
      <sz val="11"/>
    </font>
    <font>
      <name val="Arial"/>
      <b val="1"/>
      <sz val="11"/>
    </font>
    <font>
      <name val="Arial"/>
      <b val="1"/>
      <color rgb="00B22222"/>
      <sz val="11"/>
    </font>
  </fonts>
  <fills count="6">
    <fill>
      <patternFill/>
    </fill>
    <fill>
      <patternFill patternType="gray125"/>
    </fill>
    <fill>
      <patternFill patternType="solid">
        <fgColor rgb="00B22222"/>
      </patternFill>
    </fill>
    <fill>
      <patternFill patternType="solid">
        <fgColor rgb="00222222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2" customWidth="1" min="5" max="5"/>
    <col width="14" customWidth="1" min="6" max="6"/>
    <col width="12" customWidth="1" min="7" max="7"/>
    <col width="8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6" customHeight="1">
      <c r="A1" s="1" t="inlineStr">
        <is>
          <t>🥊 応援チケット 申込管理シート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No</t>
        </is>
      </c>
      <c r="B2" s="3" t="inlineStr">
        <is>
          <t>申込日</t>
        </is>
      </c>
      <c r="C2" s="3" t="inlineStr">
        <is>
          <t>お名前</t>
        </is>
      </c>
      <c r="D2" s="3" t="inlineStr">
        <is>
          <t>フリガナ</t>
        </is>
      </c>
      <c r="E2" s="3" t="inlineStr">
        <is>
          <t>メール</t>
        </is>
      </c>
      <c r="F2" s="3" t="inlineStr">
        <is>
          <t>電話番号</t>
        </is>
      </c>
      <c r="G2" s="3" t="inlineStr">
        <is>
          <t>種別</t>
        </is>
      </c>
      <c r="H2" s="3" t="inlineStr">
        <is>
          <t>枚数</t>
        </is>
      </c>
      <c r="I2" s="3" t="inlineStr">
        <is>
          <t>合計金額</t>
        </is>
      </c>
      <c r="J2" s="3" t="inlineStr">
        <is>
          <t>支払方法</t>
        </is>
      </c>
      <c r="K2" s="3" t="inlineStr">
        <is>
          <t>入金確認</t>
        </is>
      </c>
      <c r="L2" s="3" t="inlineStr">
        <is>
          <t>備考</t>
        </is>
      </c>
    </row>
    <row r="3">
      <c r="A3" s="4" t="n">
        <v>1</v>
      </c>
      <c r="B3" s="4" t="inlineStr">
        <is>
          <t>2025/06/01</t>
        </is>
      </c>
      <c r="C3" s="4" t="inlineStr">
        <is>
          <t>佐藤 健</t>
        </is>
      </c>
      <c r="D3" s="4" t="inlineStr">
        <is>
          <t>サトウ ケン</t>
        </is>
      </c>
      <c r="E3" s="4" t="inlineStr">
        <is>
          <t>sato@example.com</t>
        </is>
      </c>
      <c r="F3" s="4" t="inlineStr">
        <is>
          <t>090-1111-2222</t>
        </is>
      </c>
      <c r="G3" s="4" t="inlineStr">
        <is>
          <t>一般席</t>
        </is>
      </c>
      <c r="H3" s="4" t="n">
        <v>2</v>
      </c>
      <c r="I3" s="5">
        <f>IF(G3="一般席",H3*3000,IF(G3="リングサイド",H3*5000,IF(G3="グループ",H3*2500,0)))</f>
        <v/>
      </c>
      <c r="J3" s="4" t="inlineStr">
        <is>
          <t>✅入金済み</t>
        </is>
      </c>
      <c r="K3" s="4" t="inlineStr">
        <is>
          <t>2隣希望</t>
        </is>
      </c>
      <c r="L3" s="4" t="n"/>
    </row>
    <row r="4">
      <c r="A4" s="6" t="n">
        <v>2</v>
      </c>
      <c r="B4" s="6" t="inlineStr">
        <is>
          <t>2025/06/02</t>
        </is>
      </c>
      <c r="C4" s="6" t="inlineStr">
        <is>
          <t>田中 美咲</t>
        </is>
      </c>
      <c r="D4" s="6" t="inlineStr">
        <is>
          <t>タナカ ミサキ</t>
        </is>
      </c>
      <c r="E4" s="6" t="inlineStr">
        <is>
          <t>tanaka@example.com</t>
        </is>
      </c>
      <c r="F4" s="6" t="inlineStr">
        <is>
          <t>080-3333-4444</t>
        </is>
      </c>
      <c r="G4" s="6" t="inlineStr">
        <is>
          <t>リングサイド</t>
        </is>
      </c>
      <c r="H4" s="6" t="n">
        <v>1</v>
      </c>
      <c r="I4" s="7">
        <f>IF(G4="一般席",H4*3000,IF(G4="リングサイド",H4*5000,IF(G4="グループ",H4*2500,0)))</f>
        <v/>
      </c>
      <c r="J4" s="6" t="inlineStr">
        <is>
          <t>⏳未入金</t>
        </is>
      </c>
      <c r="K4" s="6" t="inlineStr"/>
      <c r="L4" s="6" t="n"/>
    </row>
    <row r="5">
      <c r="A5" s="4" t="n">
        <v>3</v>
      </c>
      <c r="B5" s="4" t="inlineStr">
        <is>
          <t>2025/06/03</t>
        </is>
      </c>
      <c r="C5" s="4" t="inlineStr">
        <is>
          <t>鈴木 グループ</t>
        </is>
      </c>
      <c r="D5" s="4" t="inlineStr">
        <is>
          <t>スズキ グループ</t>
        </is>
      </c>
      <c r="E5" s="4" t="inlineStr">
        <is>
          <t>suzuki@example.com</t>
        </is>
      </c>
      <c r="F5" s="4" t="inlineStr">
        <is>
          <t>070-5555-6666</t>
        </is>
      </c>
      <c r="G5" s="4" t="inlineStr">
        <is>
          <t>グループ</t>
        </is>
      </c>
      <c r="H5" s="4" t="n">
        <v>5</v>
      </c>
      <c r="I5" s="5">
        <f>IF(G5="一般席",H5*3000,IF(G5="リングサイド",H5*5000,IF(G5="グループ",H5*2500,0)))</f>
        <v/>
      </c>
      <c r="J5" s="4" t="inlineStr">
        <is>
          <t>✅入金済み</t>
        </is>
      </c>
      <c r="K5" s="4" t="inlineStr">
        <is>
          <t>5名一括</t>
        </is>
      </c>
      <c r="L5" s="4" t="n"/>
    </row>
    <row r="6">
      <c r="A6" s="8" t="inlineStr">
        <is>
          <t>合計</t>
        </is>
      </c>
      <c r="B6" s="2" t="n"/>
      <c r="C6" s="2" t="n"/>
      <c r="D6" s="2" t="n"/>
      <c r="E6" s="2" t="n"/>
      <c r="F6" s="2" t="n"/>
      <c r="G6" s="2" t="n"/>
      <c r="H6" s="2" t="n"/>
      <c r="I6" s="9">
        <f>SUM(I3:I5)</f>
        <v/>
      </c>
      <c r="J6" s="2" t="n"/>
      <c r="K6" s="2" t="n"/>
      <c r="L6" s="2" t="n"/>
    </row>
  </sheetData>
  <mergeCells count="2">
    <mergeCell ref="A6:H6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 ht="36" customHeight="1">
      <c r="A1" s="1" t="inlineStr">
        <is>
          <t>🥊 試合・チケット基本情報</t>
        </is>
      </c>
      <c r="B1" s="2" t="n"/>
    </row>
    <row r="2">
      <c r="A2" s="10" t="inlineStr">
        <is>
          <t>【試合情報】</t>
        </is>
      </c>
      <c r="B2" s="11" t="inlineStr"/>
    </row>
    <row r="3">
      <c r="A3" s="12" t="inlineStr">
        <is>
          <t>試合日</t>
        </is>
      </c>
      <c r="B3" s="13" t="inlineStr">
        <is>
          <t>2025年12月14日（日）</t>
        </is>
      </c>
    </row>
    <row r="4">
      <c r="A4" s="12" t="inlineStr">
        <is>
          <t>会場</t>
        </is>
      </c>
      <c r="B4" s="13" t="inlineStr">
        <is>
          <t>○○アリーナ</t>
        </is>
      </c>
    </row>
    <row r="5">
      <c r="A5" s="12" t="inlineStr">
        <is>
          <t>開場・開始時間</t>
        </is>
      </c>
      <c r="B5" s="13" t="inlineStr">
        <is>
          <t>開場 17:00 / 開始 18:00</t>
        </is>
      </c>
    </row>
    <row r="6">
      <c r="A6" s="14" t="inlineStr"/>
      <c r="B6" s="13" t="inlineStr"/>
    </row>
    <row r="7">
      <c r="A7" s="10" t="inlineStr">
        <is>
          <t>【チケット価格】</t>
        </is>
      </c>
      <c r="B7" s="11" t="inlineStr"/>
    </row>
    <row r="8">
      <c r="A8" s="12" t="inlineStr">
        <is>
          <t>一般席</t>
        </is>
      </c>
      <c r="B8" s="13" t="inlineStr">
        <is>
          <t>¥3,000（当日精算可）</t>
        </is>
      </c>
    </row>
    <row r="9">
      <c r="A9" s="12" t="inlineStr">
        <is>
          <t>リングサイド</t>
        </is>
      </c>
      <c r="B9" s="13" t="inlineStr">
        <is>
          <t>¥5,000（要事前予約）</t>
        </is>
      </c>
    </row>
    <row r="10">
      <c r="A10" s="12" t="inlineStr">
        <is>
          <t>グループ（5名以上）</t>
        </is>
      </c>
      <c r="B10" s="13" t="inlineStr">
        <is>
          <t>¥2,500/人（要事前申し込み）</t>
        </is>
      </c>
    </row>
    <row r="11">
      <c r="A11" s="14" t="inlineStr"/>
      <c r="B11" s="13" t="inlineStr"/>
    </row>
    <row r="12">
      <c r="A12" s="10" t="inlineStr">
        <is>
          <t>【銀行口座情報】</t>
        </is>
      </c>
      <c r="B12" s="11" t="inlineStr"/>
    </row>
    <row r="13">
      <c r="A13" s="12" t="inlineStr">
        <is>
          <t>銀行名</t>
        </is>
      </c>
      <c r="B13" s="13" t="inlineStr">
        <is>
          <t>○○銀行 ○○支店</t>
        </is>
      </c>
    </row>
    <row r="14">
      <c r="A14" s="12" t="inlineStr">
        <is>
          <t>口座種別</t>
        </is>
      </c>
      <c r="B14" s="13" t="inlineStr">
        <is>
          <t>普通</t>
        </is>
      </c>
    </row>
    <row r="15">
      <c r="A15" s="12" t="inlineStr">
        <is>
          <t>口座番号</t>
        </is>
      </c>
      <c r="B15" s="13" t="inlineStr">
        <is>
          <t>1234567</t>
        </is>
      </c>
    </row>
    <row r="16">
      <c r="A16" s="12" t="inlineStr">
        <is>
          <t>口座名義</t>
        </is>
      </c>
      <c r="B16" s="13" t="inlineStr">
        <is>
          <t>ヤマダ タロウ</t>
        </is>
      </c>
    </row>
    <row r="17">
      <c r="A17" s="14" t="inlineStr"/>
      <c r="B17" s="13" t="inlineStr"/>
    </row>
    <row r="18">
      <c r="A18" s="10" t="inlineStr">
        <is>
          <t>【連絡先】</t>
        </is>
      </c>
      <c r="B18" s="11" t="inlineStr"/>
    </row>
    <row r="19">
      <c r="A19" s="12" t="inlineStr">
        <is>
          <t>電話</t>
        </is>
      </c>
      <c r="B19" s="13" t="inlineStr">
        <is>
          <t>090-XXXX-XXXX</t>
        </is>
      </c>
    </row>
    <row r="20">
      <c r="A20" s="12" t="inlineStr">
        <is>
          <t>電話受付時間</t>
        </is>
      </c>
      <c r="B20" s="13" t="inlineStr">
        <is>
          <t>平日 20:00〜22:00 / 土日 10:00〜18:00</t>
        </is>
      </c>
    </row>
    <row r="21">
      <c r="A21" s="12" t="inlineStr">
        <is>
          <t>メール</t>
        </is>
      </c>
      <c r="B21" s="13" t="inlineStr">
        <is>
          <t>your@email.com</t>
        </is>
      </c>
    </row>
    <row r="22">
      <c r="A22" s="12" t="inlineStr">
        <is>
          <t>Instagram</t>
        </is>
      </c>
      <c r="B22" s="13" t="inlineStr">
        <is>
          <t>@yourhandle</t>
        </is>
      </c>
    </row>
    <row r="23">
      <c r="A23" s="12" t="inlineStr">
        <is>
          <t>Facebook</t>
        </is>
      </c>
      <c r="B23" s="13" t="inlineStr">
        <is>
          <t>@yourpage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36" customHeight="1">
      <c r="A1" s="1" t="inlineStr">
        <is>
          <t>📊 チケット集計ダッシュボード</t>
        </is>
      </c>
      <c r="B1" s="2" t="n"/>
    </row>
    <row r="2">
      <c r="A2" s="12" t="inlineStr">
        <is>
          <t>総申込件数</t>
        </is>
      </c>
      <c r="B2" s="14">
        <f>COUNTA(申込管理!C3:C999)</f>
        <v/>
      </c>
    </row>
    <row r="3">
      <c r="A3" s="12" t="inlineStr">
        <is>
          <t>総チケット枚数</t>
        </is>
      </c>
      <c r="B3" s="14">
        <f>SUM(申込管理!H3:H999)</f>
        <v/>
      </c>
    </row>
    <row r="4">
      <c r="A4" s="12" t="inlineStr">
        <is>
          <t>合計売上</t>
        </is>
      </c>
      <c r="B4" s="15">
        <f>申込管理!I6</f>
        <v/>
      </c>
    </row>
    <row r="5">
      <c r="A5" s="12" t="inlineStr">
        <is>
          <t>入金済み件数</t>
        </is>
      </c>
      <c r="B5" s="14">
        <f>COUNTIF(申込管理!K3:K1000,"✅入金済み")</f>
        <v/>
      </c>
    </row>
    <row r="6">
      <c r="A6" s="12" t="inlineStr">
        <is>
          <t>未入金件数</t>
        </is>
      </c>
      <c r="B6" s="14">
        <f>COUNTIF(申込管理!K3:K1000,"⏳未入金")</f>
        <v/>
      </c>
    </row>
    <row r="7">
      <c r="A7" s="12" t="inlineStr">
        <is>
          <t>キャンセル件数</t>
        </is>
      </c>
      <c r="B7" s="14">
        <f>COUNTIF(申込管理!K3:K1000,"❌キャンセル")</f>
        <v/>
      </c>
    </row>
    <row r="8">
      <c r="A8" s="14" t="inlineStr"/>
      <c r="B8" s="14" t="inlineStr"/>
    </row>
    <row r="9">
      <c r="A9" s="10" t="inlineStr">
        <is>
          <t>【種別ごとの枚数】</t>
        </is>
      </c>
      <c r="B9" s="10" t="inlineStr"/>
    </row>
    <row r="10">
      <c r="A10" s="12" t="inlineStr">
        <is>
          <t>一般席</t>
        </is>
      </c>
      <c r="B10" s="14">
        <f>SUMIF(申込管理!G3:G1000,"一般席",申込管理!H3:H1000)</f>
        <v/>
      </c>
    </row>
    <row r="11">
      <c r="A11" s="12" t="inlineStr">
        <is>
          <t>リングサイド</t>
        </is>
      </c>
      <c r="B11" s="14">
        <f>SUMIF(申込管理!G3:G1000,"リングサイド",申込管理!H3:H1000)</f>
        <v/>
      </c>
    </row>
    <row r="12">
      <c r="A12" s="12" t="inlineStr">
        <is>
          <t>グループ</t>
        </is>
      </c>
      <c r="B12" s="14">
        <f>SUMIF(申込管理!G3:G1000,"グループ",申込管理!H3:H1000)</f>
        <v/>
      </c>
    </row>
    <row r="13">
      <c r="A13" s="14" t="inlineStr"/>
      <c r="B13" s="14" t="inlineStr"/>
    </row>
    <row r="14">
      <c r="A14" s="10" t="inlineStr">
        <is>
          <t>【支払方法ごとの件数】</t>
        </is>
      </c>
      <c r="B14" s="10" t="inlineStr"/>
    </row>
    <row r="15">
      <c r="A15" s="12" t="inlineStr">
        <is>
          <t>銀行振込</t>
        </is>
      </c>
      <c r="B15" s="14">
        <f>COUNTIF(申込管理!J3:J1000,"銀行振込")</f>
        <v/>
      </c>
    </row>
    <row r="16">
      <c r="A16" s="12" t="inlineStr">
        <is>
          <t>PayPay</t>
        </is>
      </c>
      <c r="B16" s="14">
        <f>COUNTIF(申込管理!J3:J1000,"PayPay")</f>
        <v/>
      </c>
    </row>
    <row r="17">
      <c r="A17" s="12" t="inlineStr">
        <is>
          <t>現金手渡し</t>
        </is>
      </c>
      <c r="B17" s="14">
        <f>COUNTIF(申込管理!J3:J1000,"現金手渡し")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2026-06-09T06:24:02Z</dcterms:created>
  <dcterms:modified xsi:type="dcterms:W3CDTF">2026-06-09T06:24:02Z</dcterms:modified>
</cp:coreProperties>
</file>